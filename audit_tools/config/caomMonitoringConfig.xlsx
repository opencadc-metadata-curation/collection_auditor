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udet_1/work/caomMonitoring/config/"/>
    </mc:Choice>
  </mc:AlternateContent>
  <xr:revisionPtr revIDLastSave="0" documentId="13_ncr:1_{D68DE40C-3FDF-DB46-8F9C-FDE9F10D6D5D}" xr6:coauthVersionLast="47" xr6:coauthVersionMax="47" xr10:uidLastSave="{00000000-0000-0000-0000-000000000000}"/>
  <bookViews>
    <workbookView xWindow="4380" yWindow="3960" windowWidth="21260" windowHeight="13320" xr2:uid="{21FB0C75-4DF4-D84B-9208-FA848FB1ED1D}"/>
  </bookViews>
  <sheets>
    <sheet name="caomMonitoring configuratio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4" l="1"/>
  <c r="J26" i="4"/>
  <c r="A28" i="4"/>
  <c r="S17" i="4"/>
  <c r="S16" i="4"/>
  <c r="J25" i="4"/>
  <c r="Q25" i="4"/>
  <c r="A27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4" i="4"/>
  <c r="Q23" i="4"/>
  <c r="Q22" i="4"/>
  <c r="Q21" i="4"/>
  <c r="Q20" i="4"/>
  <c r="Q19" i="4"/>
  <c r="Q18" i="4"/>
  <c r="Q17" i="4"/>
  <c r="Q16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J9" i="4"/>
  <c r="J8" i="4"/>
  <c r="J6" i="4"/>
  <c r="J2" i="4"/>
  <c r="L50" i="4"/>
  <c r="J50" i="4" s="1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L40" i="4"/>
  <c r="J40" i="4" s="1"/>
  <c r="L24" i="4"/>
  <c r="J24" i="4" s="1"/>
  <c r="L19" i="4"/>
  <c r="J19" i="4" s="1"/>
  <c r="L17" i="4"/>
  <c r="J17" i="4" s="1"/>
  <c r="L14" i="4"/>
  <c r="J14" i="4" s="1"/>
  <c r="L33" i="4"/>
  <c r="J33" i="4" s="1"/>
  <c r="L65" i="4"/>
  <c r="L66" i="4"/>
  <c r="L41" i="4"/>
  <c r="J41" i="4" s="1"/>
  <c r="L39" i="4"/>
  <c r="J39" i="4" s="1"/>
  <c r="L38" i="4"/>
  <c r="J38" i="4" s="1"/>
  <c r="L37" i="4"/>
  <c r="J37" i="4" s="1"/>
  <c r="L64" i="4"/>
  <c r="L36" i="4"/>
  <c r="J36" i="4" s="1"/>
  <c r="L35" i="4"/>
  <c r="J35" i="4" s="1"/>
  <c r="L63" i="4"/>
  <c r="L34" i="4"/>
  <c r="J34" i="4" s="1"/>
  <c r="L62" i="4"/>
  <c r="L32" i="4"/>
  <c r="J32" i="4" s="1"/>
  <c r="L61" i="4"/>
  <c r="L31" i="4"/>
  <c r="J31" i="4" s="1"/>
  <c r="L30" i="4"/>
  <c r="J30" i="4" s="1"/>
  <c r="L29" i="4"/>
  <c r="J29" i="4" s="1"/>
  <c r="L60" i="4"/>
  <c r="L28" i="4"/>
  <c r="J28" i="4" s="1"/>
  <c r="L27" i="4"/>
  <c r="J27" i="4" s="1"/>
  <c r="L58" i="4"/>
  <c r="L57" i="4"/>
  <c r="L23" i="4"/>
  <c r="J23" i="4" s="1"/>
  <c r="L22" i="4"/>
  <c r="J22" i="4" s="1"/>
  <c r="L21" i="4"/>
  <c r="J21" i="4" s="1"/>
  <c r="L20" i="4"/>
  <c r="J20" i="4" s="1"/>
  <c r="L56" i="4"/>
  <c r="L18" i="4"/>
  <c r="J18" i="4" s="1"/>
  <c r="L16" i="4"/>
  <c r="J16" i="4" s="1"/>
  <c r="L15" i="4"/>
  <c r="J15" i="4" s="1"/>
  <c r="L55" i="4"/>
  <c r="L54" i="4"/>
  <c r="L13" i="4"/>
  <c r="J13" i="4" s="1"/>
  <c r="L12" i="4"/>
  <c r="J12" i="4" s="1"/>
  <c r="L11" i="4"/>
  <c r="J11" i="4" s="1"/>
  <c r="L10" i="4"/>
  <c r="J10" i="4" s="1"/>
  <c r="L53" i="4"/>
  <c r="L52" i="4"/>
  <c r="L51" i="4"/>
  <c r="J51" i="4" s="1"/>
  <c r="L9" i="4"/>
  <c r="L7" i="4"/>
  <c r="J7" i="4" s="1"/>
  <c r="L5" i="4"/>
  <c r="J5" i="4" s="1"/>
  <c r="L4" i="4"/>
  <c r="J4" i="4" s="1"/>
  <c r="L3" i="4"/>
  <c r="J3" i="4" s="1"/>
  <c r="L59" i="4"/>
  <c r="J59" i="4" s="1"/>
  <c r="Q43" i="4" l="1"/>
  <c r="Q44" i="4"/>
  <c r="Q42" i="4"/>
</calcChain>
</file>

<file path=xl/sharedStrings.xml><?xml version="1.0" encoding="utf-8"?>
<sst xmlns="http://schemas.openxmlformats.org/spreadsheetml/2006/main" count="433" uniqueCount="148">
  <si>
    <t>cadc:AICO</t>
  </si>
  <si>
    <t>cadc:BLAST</t>
  </si>
  <si>
    <t>cadc:BRITE-Constellation</t>
  </si>
  <si>
    <t>cadc:CFHT</t>
  </si>
  <si>
    <t>cadc:CFHTSG</t>
  </si>
  <si>
    <t>cadc:CFHTTERAPIX</t>
  </si>
  <si>
    <t>cadc:CGPS</t>
  </si>
  <si>
    <t>cadc:CGRT</t>
  </si>
  <si>
    <t>cadc:CXO</t>
  </si>
  <si>
    <t>cadc:DAO</t>
  </si>
  <si>
    <t>cadc:DAOCADC</t>
  </si>
  <si>
    <t>cadc:DAOPLATES</t>
  </si>
  <si>
    <t>cadc:DRAO</t>
  </si>
  <si>
    <t>cadc:DSS</t>
  </si>
  <si>
    <t>cadc:FIRST</t>
  </si>
  <si>
    <t>cadc:FUSE</t>
  </si>
  <si>
    <t>cadc:GEMINI</t>
  </si>
  <si>
    <t>cadc:GEMINICADC</t>
  </si>
  <si>
    <t>cadc:GSKY</t>
  </si>
  <si>
    <t>cadc:HSTHLA</t>
  </si>
  <si>
    <t>cadc:IRIS</t>
  </si>
  <si>
    <t>cadc:JCMT</t>
  </si>
  <si>
    <t>cadc:JCMTLS</t>
  </si>
  <si>
    <t>cadc:JCMTSL</t>
  </si>
  <si>
    <t>cadc:JCMTST</t>
  </si>
  <si>
    <t>cadc:MACHO</t>
  </si>
  <si>
    <t>cadc:MOST</t>
  </si>
  <si>
    <t>cadc:NBALL</t>
  </si>
  <si>
    <t>cadc:NEOSSAT</t>
  </si>
  <si>
    <t>cadc:NGVS</t>
  </si>
  <si>
    <t>cadc:OMM</t>
  </si>
  <si>
    <t>cadc:POSSUM</t>
  </si>
  <si>
    <t>cadc:PANDAS</t>
  </si>
  <si>
    <t>cadc:ROSAT</t>
  </si>
  <si>
    <t>cadc:SCUPOL</t>
  </si>
  <si>
    <t>cadc:SCUBA-LC</t>
  </si>
  <si>
    <t>cadc:SUBARUCADC</t>
  </si>
  <si>
    <t>cadc:TAOSII</t>
  </si>
  <si>
    <t>cadc:TULLY</t>
  </si>
  <si>
    <t>cadc:UKIRT</t>
  </si>
  <si>
    <t>cadc:vault</t>
  </si>
  <si>
    <t>cadc:VGPS</t>
  </si>
  <si>
    <t>cadc:VLASS</t>
  </si>
  <si>
    <t>cadc:WALLABY</t>
  </si>
  <si>
    <t>cadc:XDSS</t>
  </si>
  <si>
    <t>casda:RACS</t>
  </si>
  <si>
    <t>gemini:GEMINI</t>
  </si>
  <si>
    <t>mast:HST</t>
  </si>
  <si>
    <t>mast:JWST</t>
  </si>
  <si>
    <t>nrao:VLASS</t>
  </si>
  <si>
    <t>BLAST</t>
  </si>
  <si>
    <t>BRITE-Constellation</t>
  </si>
  <si>
    <t>CFHT</t>
  </si>
  <si>
    <t>CFHTTERAPIX</t>
  </si>
  <si>
    <t>CGPS</t>
  </si>
  <si>
    <t>DAO</t>
  </si>
  <si>
    <t>DAOCADC</t>
  </si>
  <si>
    <t>DAOPLATES</t>
  </si>
  <si>
    <t>DRAO</t>
  </si>
  <si>
    <t>FUSE</t>
  </si>
  <si>
    <t>GEMINI</t>
  </si>
  <si>
    <t>GEMINICADC</t>
  </si>
  <si>
    <t>HSTHLA</t>
  </si>
  <si>
    <t>IRIS</t>
  </si>
  <si>
    <t>JCMT</t>
  </si>
  <si>
    <t>JCMTLS</t>
  </si>
  <si>
    <t>MACHO</t>
  </si>
  <si>
    <t>MOST</t>
  </si>
  <si>
    <t>NEOSSAT</t>
  </si>
  <si>
    <t>NGVS</t>
  </si>
  <si>
    <t>OMM</t>
  </si>
  <si>
    <t>POSSUM</t>
  </si>
  <si>
    <t>SCUBA-LC</t>
  </si>
  <si>
    <t>SUBARUCADC</t>
  </si>
  <si>
    <t>TAOSII</t>
  </si>
  <si>
    <t>UKIRT</t>
  </si>
  <si>
    <t>VGPS</t>
  </si>
  <si>
    <t>VLASS</t>
  </si>
  <si>
    <t>WALLABY</t>
  </si>
  <si>
    <t>RACS</t>
  </si>
  <si>
    <t>mast</t>
  </si>
  <si>
    <t>HST</t>
  </si>
  <si>
    <t>JWST</t>
  </si>
  <si>
    <t>collection</t>
  </si>
  <si>
    <t>average bucket size</t>
  </si>
  <si>
    <t>APASS</t>
  </si>
  <si>
    <t>CFHTMEGAPIPE</t>
  </si>
  <si>
    <t>CFHTWIRWOLF</t>
  </si>
  <si>
    <t>CHANDRA</t>
  </si>
  <si>
    <t>EUCLID</t>
  </si>
  <si>
    <t>NOAO</t>
  </si>
  <si>
    <t>SDSS</t>
  </si>
  <si>
    <t>SUBARU</t>
  </si>
  <si>
    <t>TESS</t>
  </si>
  <si>
    <t>XMM</t>
  </si>
  <si>
    <t>astron:LOTSS</t>
  </si>
  <si>
    <t>cadc:CHIMEFRB</t>
  </si>
  <si>
    <t>esa:EUCLID</t>
  </si>
  <si>
    <t>si_namespace</t>
  </si>
  <si>
    <t>num si_artifacts</t>
  </si>
  <si>
    <t>ams_alma</t>
  </si>
  <si>
    <t>ALMA</t>
  </si>
  <si>
    <t>ams_cfht</t>
  </si>
  <si>
    <t>ams_cirada</t>
  </si>
  <si>
    <t>ams_dao</t>
  </si>
  <si>
    <t>ams_drao</t>
  </si>
  <si>
    <t>ams_eao</t>
  </si>
  <si>
    <t>ams_gemini</t>
  </si>
  <si>
    <t>ams_ngvs</t>
  </si>
  <si>
    <t>ams_omm</t>
  </si>
  <si>
    <t>ams_shared</t>
  </si>
  <si>
    <t>ams_mast</t>
  </si>
  <si>
    <t>ams_maq</t>
  </si>
  <si>
    <t>dynamic</t>
  </si>
  <si>
    <t>harvested</t>
  </si>
  <si>
    <t>ams_site</t>
  </si>
  <si>
    <t>D</t>
  </si>
  <si>
    <t>in_si</t>
  </si>
  <si>
    <t>caomCollections.csv</t>
  </si>
  <si>
    <t>caomSiMappings.csv</t>
  </si>
  <si>
    <t>num_char</t>
  </si>
  <si>
    <t>in ams repo</t>
  </si>
  <si>
    <t>False</t>
  </si>
  <si>
    <t>True</t>
  </si>
  <si>
    <t>site_name</t>
  </si>
  <si>
    <t>site_url</t>
  </si>
  <si>
    <t>argus</t>
  </si>
  <si>
    <t>https://ws.cadc-ccda.hia-iha.nrc-cnrc.gc.ca/argus</t>
  </si>
  <si>
    <t>https://ws.cadc-ccda.hia-iha.nrc-cnrc.gc.ca/ams/alma</t>
  </si>
  <si>
    <t>https://ws.cadc-ccda.hia-iha.nrc-cnrc.gc.ca/ams/cfht</t>
  </si>
  <si>
    <t>https://ws.cadc-ccda.hia-iha.nrc-cnrc.gc.ca/ams/cirada</t>
  </si>
  <si>
    <t>https://ws.cadc-ccda.hia-iha.nrc-cnrc.gc.ca/ams/dao</t>
  </si>
  <si>
    <t>https://ws.cadc-ccda.hia-iha.nrc-cnrc.gc.ca/ams/drao</t>
  </si>
  <si>
    <t>https://ws.cadc-ccda.hia-iha.nrc-cnrc.gc.ca/ams/eao</t>
  </si>
  <si>
    <t>https://ws.cadc-ccda.hia-iha.nrc-cnrc.gc.ca/ams/gemini</t>
  </si>
  <si>
    <t>https://ws.cadc-ccda.hia-iha.nrc-cnrc.gc.ca/ams/ngvs</t>
  </si>
  <si>
    <t>https://ws.cadc-ccda.hia-iha.nrc-cnrc.gc.ca/ams/mast</t>
  </si>
  <si>
    <t>https://ws.cadc-ccda.hia-iha.nrc-cnrc.gc.ca/ams/omm</t>
  </si>
  <si>
    <t>https://ws.cadc-ccda.hia-iha.nrc-cnrc.gc.ca/ams/shared</t>
  </si>
  <si>
    <t>https://mast.stsci.edu/vo-tap/api/v0.1/caom</t>
  </si>
  <si>
    <t>caomSites.csv</t>
  </si>
  <si>
    <t>LSST.DP1</t>
  </si>
  <si>
    <t>sc2</t>
  </si>
  <si>
    <t>lsst:dp1</t>
  </si>
  <si>
    <t>https://sc2.canfar.net/sc2tap</t>
  </si>
  <si>
    <t>caom25</t>
  </si>
  <si>
    <t>https://ws.cadc-ccda.hia-iha.nrc-cnrc.gc.ca/caom25/argus</t>
  </si>
  <si>
    <t>LOTSS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</si>
</sst>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164" fontId="0" fillId="0" borderId="0" xfId="1" applyNumberFormat="1" applyFont="1"/>
    <xf numFmtId="0" fontId="16" fillId="0" borderId="0" xfId="0" applyFont="1" applyAlignment="1">
      <alignment horizontal="center" vertical="center" wrapText="1"/>
    </xf>
    <xf numFmtId="164" fontId="16" fillId="0" borderId="0" xfId="1" applyNumberFormat="1" applyFont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" xfId="1" builtinId="3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s.cadc-ccda.hia-iha.nrc-cnrc.gc.ca/caom25/arg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7AC4-AE66-3A4E-A02E-B72B481D6F81}">
  <dimension ref="A1:V66"/>
  <sheetViews>
    <sheetView tabSelected="1" topLeftCell="I2" workbookViewId="0">
      <selection activeCell="S28" sqref="S28"/>
    </sheetView>
  </sheetViews>
  <sheetFormatPr baseColWidth="10" defaultRowHeight="16" x14ac:dyDescent="0.2"/>
  <cols>
    <col min="1" max="1" width="46.83203125" bestFit="1" customWidth="1"/>
    <col min="2" max="2" width="4.83203125" customWidth="1"/>
    <col min="3" max="3" width="17.5" bestFit="1" customWidth="1"/>
    <col min="4" max="4" width="9.33203125" style="7" bestFit="1" customWidth="1"/>
    <col min="5" max="5" width="8.1640625" style="7" bestFit="1" customWidth="1"/>
    <col min="6" max="6" width="7" style="7" customWidth="1"/>
    <col min="7" max="7" width="5.5" style="7" bestFit="1" customWidth="1"/>
    <col min="8" max="8" width="11.33203125" bestFit="1" customWidth="1"/>
    <col min="10" max="10" width="40.5" bestFit="1" customWidth="1"/>
    <col min="11" max="11" width="4.83203125" customWidth="1"/>
    <col min="12" max="12" width="17.5" bestFit="1" customWidth="1"/>
    <col min="13" max="13" width="7.1640625" style="7" customWidth="1"/>
    <col min="14" max="14" width="21.83203125" bestFit="1" customWidth="1"/>
    <col min="15" max="15" width="12.83203125" style="2" bestFit="1" customWidth="1"/>
    <col min="17" max="17" width="11.83203125" bestFit="1" customWidth="1"/>
    <col min="19" max="19" width="59.1640625" bestFit="1" customWidth="1"/>
    <col min="20" max="20" width="4.83203125" customWidth="1"/>
    <col min="22" max="22" width="50" bestFit="1" customWidth="1"/>
  </cols>
  <sheetData>
    <row r="1" spans="1:22" x14ac:dyDescent="0.2">
      <c r="A1" s="1" t="s">
        <v>118</v>
      </c>
      <c r="J1" s="1" t="s">
        <v>119</v>
      </c>
      <c r="S1" s="1" t="s">
        <v>140</v>
      </c>
    </row>
    <row r="2" spans="1:22" s="3" customFormat="1" ht="34" x14ac:dyDescent="0.2">
      <c r="A2" s="8" t="str">
        <f t="shared" ref="A2:A47" si="0">_xlfn.CONCAT(C2,",",D2,",",E2,",",F2,",",G2,",",H2)</f>
        <v>collection,harvested,dynamic,in_si,mast,ams_site</v>
      </c>
      <c r="C2" s="3" t="s">
        <v>83</v>
      </c>
      <c r="D2" s="3" t="s">
        <v>114</v>
      </c>
      <c r="E2" s="3" t="s">
        <v>113</v>
      </c>
      <c r="F2" s="3" t="s">
        <v>117</v>
      </c>
      <c r="G2" s="3" t="s">
        <v>80</v>
      </c>
      <c r="H2" s="3" t="s">
        <v>115</v>
      </c>
      <c r="J2" s="8" t="str">
        <f t="shared" ref="J2:J41" si="1">_xlfn.CONCAT(L2,",",N2,",",P2)</f>
        <v>collection,si_namespace,num_char</v>
      </c>
      <c r="L2" s="3" t="s">
        <v>83</v>
      </c>
      <c r="M2" s="3" t="s">
        <v>121</v>
      </c>
      <c r="N2" s="3" t="s">
        <v>98</v>
      </c>
      <c r="O2" s="4" t="s">
        <v>99</v>
      </c>
      <c r="P2" s="3" t="s">
        <v>120</v>
      </c>
      <c r="Q2" s="3" t="s">
        <v>84</v>
      </c>
      <c r="S2" s="8" t="str">
        <f>_xlfn.CONCAT(U2,",",V2)</f>
        <v>site_name,site_url</v>
      </c>
      <c r="U2" s="3" t="s">
        <v>124</v>
      </c>
      <c r="V2" s="3" t="s">
        <v>125</v>
      </c>
    </row>
    <row r="3" spans="1:22" ht="17" x14ac:dyDescent="0.2">
      <c r="A3" s="8" t="str">
        <f t="shared" si="0"/>
        <v>ALMA,False,False,False,False,ams_alma</v>
      </c>
      <c r="C3" t="s">
        <v>101</v>
      </c>
      <c r="D3" s="7" t="s">
        <v>122</v>
      </c>
      <c r="E3" s="6" t="s">
        <v>122</v>
      </c>
      <c r="F3" s="6" t="s">
        <v>122</v>
      </c>
      <c r="G3" s="7" t="s">
        <v>122</v>
      </c>
      <c r="H3" t="s">
        <v>100</v>
      </c>
      <c r="J3" s="8" t="str">
        <f t="shared" si="1"/>
        <v>BLAST,cadc:BLAST,0</v>
      </c>
      <c r="L3" t="str">
        <f>_xlfn.TEXTAFTER(N3,":")</f>
        <v>BLAST</v>
      </c>
      <c r="M3" s="7" t="s">
        <v>123</v>
      </c>
      <c r="N3" t="s">
        <v>1</v>
      </c>
      <c r="O3" s="2">
        <v>407</v>
      </c>
      <c r="P3">
        <v>0</v>
      </c>
      <c r="Q3" s="2">
        <f t="shared" ref="Q3:Q4" si="2">O3/16^P3</f>
        <v>407</v>
      </c>
      <c r="S3" s="8" t="str">
        <f t="shared" ref="S3:S17" si="3">_xlfn.CONCAT(U3,",",V3)</f>
        <v>argus,https://ws.cadc-ccda.hia-iha.nrc-cnrc.gc.ca/argus</v>
      </c>
      <c r="U3" s="5" t="s">
        <v>126</v>
      </c>
      <c r="V3" t="s">
        <v>127</v>
      </c>
    </row>
    <row r="4" spans="1:22" ht="17" x14ac:dyDescent="0.2">
      <c r="A4" s="8" t="str">
        <f t="shared" si="0"/>
        <v>APASS,True,False,False,False,ams_shared</v>
      </c>
      <c r="C4" t="s">
        <v>85</v>
      </c>
      <c r="D4" s="7" t="s">
        <v>123</v>
      </c>
      <c r="E4" s="6" t="s">
        <v>122</v>
      </c>
      <c r="F4" s="7" t="s">
        <v>122</v>
      </c>
      <c r="G4" s="7" t="s">
        <v>122</v>
      </c>
      <c r="H4" t="s">
        <v>110</v>
      </c>
      <c r="J4" s="8" t="str">
        <f t="shared" si="1"/>
        <v>BRITE-Constellation,cadc:BRITE-Constellation,0</v>
      </c>
      <c r="L4" t="str">
        <f>_xlfn.TEXTAFTER(N4,":")</f>
        <v>BRITE-Constellation</v>
      </c>
      <c r="M4" s="7" t="s">
        <v>123</v>
      </c>
      <c r="N4" t="s">
        <v>2</v>
      </c>
      <c r="O4" s="2">
        <v>12999</v>
      </c>
      <c r="P4">
        <v>0</v>
      </c>
      <c r="Q4" s="2">
        <f t="shared" si="2"/>
        <v>12999</v>
      </c>
      <c r="S4" s="8" t="str">
        <f t="shared" si="3"/>
        <v>ams_alma,https://ws.cadc-ccda.hia-iha.nrc-cnrc.gc.ca/ams/alma</v>
      </c>
      <c r="U4" s="5" t="s">
        <v>100</v>
      </c>
      <c r="V4" t="s">
        <v>128</v>
      </c>
    </row>
    <row r="5" spans="1:22" ht="17" x14ac:dyDescent="0.2">
      <c r="A5" s="8" t="str">
        <f t="shared" si="0"/>
        <v>BLAST,True,False,True,False,ams_shared</v>
      </c>
      <c r="C5" t="s">
        <v>50</v>
      </c>
      <c r="D5" s="7" t="s">
        <v>123</v>
      </c>
      <c r="E5" s="6" t="s">
        <v>122</v>
      </c>
      <c r="F5" s="7" t="s">
        <v>123</v>
      </c>
      <c r="G5" s="7" t="s">
        <v>122</v>
      </c>
      <c r="H5" t="s">
        <v>110</v>
      </c>
      <c r="J5" s="8" t="str">
        <f t="shared" si="1"/>
        <v>CFHT,cadc:CFHT,0</v>
      </c>
      <c r="L5" t="str">
        <f>_xlfn.TEXTAFTER(N5,":")</f>
        <v>CFHT</v>
      </c>
      <c r="M5" s="7" t="s">
        <v>123</v>
      </c>
      <c r="N5" t="s">
        <v>3</v>
      </c>
      <c r="O5" s="2">
        <v>21319764</v>
      </c>
      <c r="P5">
        <v>0</v>
      </c>
      <c r="Q5" s="2">
        <f>O5/16^P5</f>
        <v>21319764</v>
      </c>
      <c r="S5" s="8" t="str">
        <f t="shared" si="3"/>
        <v>ams_cfht,https://ws.cadc-ccda.hia-iha.nrc-cnrc.gc.ca/ams/cfht</v>
      </c>
      <c r="U5" s="5" t="s">
        <v>102</v>
      </c>
      <c r="V5" t="s">
        <v>129</v>
      </c>
    </row>
    <row r="6" spans="1:22" ht="17" x14ac:dyDescent="0.2">
      <c r="A6" s="8" t="str">
        <f t="shared" si="0"/>
        <v>BRITE-Constellation,True,False,True,False,ams_shared</v>
      </c>
      <c r="C6" t="s">
        <v>51</v>
      </c>
      <c r="D6" s="7" t="s">
        <v>123</v>
      </c>
      <c r="E6" s="6" t="s">
        <v>122</v>
      </c>
      <c r="F6" s="7" t="s">
        <v>123</v>
      </c>
      <c r="G6" s="7" t="s">
        <v>122</v>
      </c>
      <c r="H6" t="s">
        <v>110</v>
      </c>
      <c r="J6" s="8" t="str">
        <f t="shared" si="1"/>
        <v>CFHTMEGAPIPE,cadc:CFHTSG,0</v>
      </c>
      <c r="L6" s="5" t="s">
        <v>86</v>
      </c>
      <c r="M6" s="6" t="s">
        <v>123</v>
      </c>
      <c r="N6" t="s">
        <v>4</v>
      </c>
      <c r="O6" s="2">
        <v>1279302</v>
      </c>
      <c r="P6">
        <v>0</v>
      </c>
      <c r="Q6" s="2">
        <f t="shared" ref="Q6:Q41" si="4">O6/16^P6</f>
        <v>1279302</v>
      </c>
      <c r="S6" s="8" t="str">
        <f t="shared" si="3"/>
        <v>ams_cirada,https://ws.cadc-ccda.hia-iha.nrc-cnrc.gc.ca/ams/cirada</v>
      </c>
      <c r="U6" s="5" t="s">
        <v>103</v>
      </c>
      <c r="V6" t="s">
        <v>130</v>
      </c>
    </row>
    <row r="7" spans="1:22" ht="17" x14ac:dyDescent="0.2">
      <c r="A7" s="8" t="str">
        <f t="shared" si="0"/>
        <v>CFHT,True,True,True,False,ams_cfht</v>
      </c>
      <c r="C7" t="s">
        <v>52</v>
      </c>
      <c r="D7" s="7" t="s">
        <v>123</v>
      </c>
      <c r="E7" s="6" t="s">
        <v>123</v>
      </c>
      <c r="F7" s="7" t="s">
        <v>123</v>
      </c>
      <c r="G7" s="7" t="s">
        <v>122</v>
      </c>
      <c r="H7" t="s">
        <v>102</v>
      </c>
      <c r="J7" s="8" t="str">
        <f t="shared" si="1"/>
        <v>CFHTTERAPIX,cadc:CFHTTERAPIX,0</v>
      </c>
      <c r="L7" t="str">
        <f>_xlfn.TEXTAFTER(N7,":")</f>
        <v>CFHTTERAPIX</v>
      </c>
      <c r="M7" s="7" t="s">
        <v>123</v>
      </c>
      <c r="N7" t="s">
        <v>5</v>
      </c>
      <c r="O7" s="2">
        <v>35100</v>
      </c>
      <c r="P7">
        <v>0</v>
      </c>
      <c r="Q7" s="2">
        <f t="shared" si="4"/>
        <v>35100</v>
      </c>
      <c r="S7" s="8" t="str">
        <f t="shared" si="3"/>
        <v>ams_dao,https://ws.cadc-ccda.hia-iha.nrc-cnrc.gc.ca/ams/dao</v>
      </c>
      <c r="U7" s="5" t="s">
        <v>104</v>
      </c>
      <c r="V7" t="s">
        <v>131</v>
      </c>
    </row>
    <row r="8" spans="1:22" ht="17" x14ac:dyDescent="0.2">
      <c r="A8" s="8" t="str">
        <f t="shared" si="0"/>
        <v>CFHTMEGAPIPE,True,False,True,False,ams_cfht</v>
      </c>
      <c r="C8" t="s">
        <v>86</v>
      </c>
      <c r="D8" s="7" t="s">
        <v>123</v>
      </c>
      <c r="E8" s="6" t="s">
        <v>122</v>
      </c>
      <c r="F8" s="7" t="s">
        <v>123</v>
      </c>
      <c r="G8" s="7" t="s">
        <v>122</v>
      </c>
      <c r="H8" t="s">
        <v>102</v>
      </c>
      <c r="J8" s="8" t="str">
        <f t="shared" si="1"/>
        <v>CFHTWIRWOLF,cadc:CFHTSG,0</v>
      </c>
      <c r="L8" t="s">
        <v>87</v>
      </c>
      <c r="M8" s="7" t="s">
        <v>123</v>
      </c>
      <c r="N8" t="s">
        <v>4</v>
      </c>
      <c r="O8" s="2">
        <v>1279302</v>
      </c>
      <c r="P8">
        <v>0</v>
      </c>
      <c r="Q8" s="2">
        <f t="shared" si="4"/>
        <v>1279302</v>
      </c>
      <c r="S8" s="8" t="str">
        <f t="shared" si="3"/>
        <v>ams_drao,https://ws.cadc-ccda.hia-iha.nrc-cnrc.gc.ca/ams/drao</v>
      </c>
      <c r="U8" s="5" t="s">
        <v>105</v>
      </c>
      <c r="V8" t="s">
        <v>132</v>
      </c>
    </row>
    <row r="9" spans="1:22" ht="17" x14ac:dyDescent="0.2">
      <c r="A9" s="8" t="str">
        <f t="shared" si="0"/>
        <v>CFHTTERAPIX,True,False,True,False,ams_cfht</v>
      </c>
      <c r="C9" t="s">
        <v>53</v>
      </c>
      <c r="D9" s="7" t="s">
        <v>123</v>
      </c>
      <c r="E9" s="6" t="s">
        <v>122</v>
      </c>
      <c r="F9" s="7" t="s">
        <v>123</v>
      </c>
      <c r="G9" s="7" t="s">
        <v>122</v>
      </c>
      <c r="H9" t="s">
        <v>102</v>
      </c>
      <c r="J9" s="8" t="str">
        <f t="shared" si="1"/>
        <v>CGPS,cadc:CGPS,0</v>
      </c>
      <c r="L9" t="str">
        <f t="shared" ref="L9:L41" si="5">_xlfn.TEXTAFTER(N9,":")</f>
        <v>CGPS</v>
      </c>
      <c r="M9" s="7" t="s">
        <v>123</v>
      </c>
      <c r="N9" t="s">
        <v>6</v>
      </c>
      <c r="O9" s="2">
        <v>3338</v>
      </c>
      <c r="P9">
        <v>0</v>
      </c>
      <c r="Q9" s="2">
        <f t="shared" si="4"/>
        <v>3338</v>
      </c>
      <c r="S9" s="8" t="str">
        <f t="shared" si="3"/>
        <v>ams_eao,https://ws.cadc-ccda.hia-iha.nrc-cnrc.gc.ca/ams/eao</v>
      </c>
      <c r="U9" s="5" t="s">
        <v>106</v>
      </c>
      <c r="V9" t="s">
        <v>133</v>
      </c>
    </row>
    <row r="10" spans="1:22" ht="17" x14ac:dyDescent="0.2">
      <c r="A10" s="8" t="str">
        <f t="shared" si="0"/>
        <v>CFHTWIRWOLF,True,False,True,False,ams_cfht</v>
      </c>
      <c r="C10" t="s">
        <v>87</v>
      </c>
      <c r="D10" s="7" t="s">
        <v>123</v>
      </c>
      <c r="E10" s="6" t="s">
        <v>122</v>
      </c>
      <c r="F10" s="7" t="s">
        <v>123</v>
      </c>
      <c r="G10" s="7" t="s">
        <v>122</v>
      </c>
      <c r="H10" t="s">
        <v>102</v>
      </c>
      <c r="J10" s="8" t="str">
        <f t="shared" si="1"/>
        <v>DAO,cadc:DAO,0</v>
      </c>
      <c r="L10" t="str">
        <f t="shared" si="5"/>
        <v>DAO</v>
      </c>
      <c r="M10" s="7" t="s">
        <v>123</v>
      </c>
      <c r="N10" t="s">
        <v>9</v>
      </c>
      <c r="O10" s="2">
        <v>4577841</v>
      </c>
      <c r="P10">
        <v>0</v>
      </c>
      <c r="Q10" s="2">
        <f t="shared" si="4"/>
        <v>4577841</v>
      </c>
      <c r="S10" s="8" t="str">
        <f t="shared" si="3"/>
        <v>ams_gemini,https://ws.cadc-ccda.hia-iha.nrc-cnrc.gc.ca/ams/gemini</v>
      </c>
      <c r="U10" s="5" t="s">
        <v>107</v>
      </c>
      <c r="V10" t="s">
        <v>134</v>
      </c>
    </row>
    <row r="11" spans="1:22" ht="17" x14ac:dyDescent="0.2">
      <c r="A11" s="8" t="str">
        <f t="shared" si="0"/>
        <v>CGPS,True,False,True,False,ams_drao</v>
      </c>
      <c r="C11" t="s">
        <v>54</v>
      </c>
      <c r="D11" s="7" t="s">
        <v>123</v>
      </c>
      <c r="E11" s="6" t="s">
        <v>122</v>
      </c>
      <c r="F11" s="7" t="s">
        <v>123</v>
      </c>
      <c r="G11" s="7" t="s">
        <v>122</v>
      </c>
      <c r="H11" t="s">
        <v>105</v>
      </c>
      <c r="J11" s="8" t="str">
        <f t="shared" si="1"/>
        <v>DAOCADC,cadc:DAOCADC,0</v>
      </c>
      <c r="L11" t="str">
        <f t="shared" si="5"/>
        <v>DAOCADC</v>
      </c>
      <c r="M11" s="7" t="s">
        <v>123</v>
      </c>
      <c r="N11" t="s">
        <v>10</v>
      </c>
      <c r="O11" s="2">
        <v>72074</v>
      </c>
      <c r="P11">
        <v>0</v>
      </c>
      <c r="Q11" s="2">
        <f t="shared" si="4"/>
        <v>72074</v>
      </c>
      <c r="S11" s="8" t="str">
        <f t="shared" si="3"/>
        <v>ams_ngvs,https://ws.cadc-ccda.hia-iha.nrc-cnrc.gc.ca/ams/ngvs</v>
      </c>
      <c r="U11" s="5" t="s">
        <v>108</v>
      </c>
      <c r="V11" t="s">
        <v>135</v>
      </c>
    </row>
    <row r="12" spans="1:22" ht="17" x14ac:dyDescent="0.2">
      <c r="A12" s="8" t="str">
        <f t="shared" si="0"/>
        <v>CHANDRA,True,False,False,False,ams_maq</v>
      </c>
      <c r="C12" t="s">
        <v>88</v>
      </c>
      <c r="D12" s="7" t="s">
        <v>123</v>
      </c>
      <c r="E12" s="6" t="s">
        <v>122</v>
      </c>
      <c r="F12" s="7" t="s">
        <v>122</v>
      </c>
      <c r="G12" s="7" t="s">
        <v>122</v>
      </c>
      <c r="H12" t="s">
        <v>112</v>
      </c>
      <c r="J12" s="8" t="str">
        <f t="shared" si="1"/>
        <v>DAOPLATES,cadc:DAOPLATES,0</v>
      </c>
      <c r="L12" t="str">
        <f t="shared" si="5"/>
        <v>DAOPLATES</v>
      </c>
      <c r="M12" s="7" t="s">
        <v>123</v>
      </c>
      <c r="N12" t="s">
        <v>11</v>
      </c>
      <c r="O12" s="2">
        <v>4179</v>
      </c>
      <c r="P12">
        <v>0</v>
      </c>
      <c r="Q12" s="2">
        <f t="shared" si="4"/>
        <v>4179</v>
      </c>
      <c r="S12" s="8" t="str">
        <f t="shared" si="3"/>
        <v>ams_mast,https://ws.cadc-ccda.hia-iha.nrc-cnrc.gc.ca/ams/mast</v>
      </c>
      <c r="U12" s="5" t="s">
        <v>111</v>
      </c>
      <c r="V12" t="s">
        <v>136</v>
      </c>
    </row>
    <row r="13" spans="1:22" ht="17" x14ac:dyDescent="0.2">
      <c r="A13" s="8" t="str">
        <f t="shared" si="0"/>
        <v>DAO,True,True,True,False,ams_dao</v>
      </c>
      <c r="C13" t="s">
        <v>55</v>
      </c>
      <c r="D13" s="7" t="s">
        <v>123</v>
      </c>
      <c r="E13" s="6" t="s">
        <v>123</v>
      </c>
      <c r="F13" s="7" t="s">
        <v>123</v>
      </c>
      <c r="G13" s="7" t="s">
        <v>122</v>
      </c>
      <c r="H13" t="s">
        <v>104</v>
      </c>
      <c r="J13" s="8" t="str">
        <f t="shared" si="1"/>
        <v>DRAO,cadc:DRAO,0</v>
      </c>
      <c r="L13" t="str">
        <f t="shared" si="5"/>
        <v>DRAO</v>
      </c>
      <c r="M13" s="7" t="s">
        <v>123</v>
      </c>
      <c r="N13" t="s">
        <v>12</v>
      </c>
      <c r="O13" s="2">
        <v>3373</v>
      </c>
      <c r="P13">
        <v>0</v>
      </c>
      <c r="Q13" s="2">
        <f t="shared" si="4"/>
        <v>3373</v>
      </c>
      <c r="S13" s="8" t="str">
        <f t="shared" si="3"/>
        <v>ams_omm,https://ws.cadc-ccda.hia-iha.nrc-cnrc.gc.ca/ams/omm</v>
      </c>
      <c r="U13" s="5" t="s">
        <v>109</v>
      </c>
      <c r="V13" t="s">
        <v>137</v>
      </c>
    </row>
    <row r="14" spans="1:22" ht="17" x14ac:dyDescent="0.2">
      <c r="A14" s="8" t="str">
        <f t="shared" si="0"/>
        <v>DAOCADC,True,False,True,False,ams_dao</v>
      </c>
      <c r="C14" t="s">
        <v>56</v>
      </c>
      <c r="D14" s="7" t="s">
        <v>123</v>
      </c>
      <c r="E14" s="6" t="s">
        <v>122</v>
      </c>
      <c r="F14" s="7" t="s">
        <v>123</v>
      </c>
      <c r="G14" s="7" t="s">
        <v>122</v>
      </c>
      <c r="H14" t="s">
        <v>104</v>
      </c>
      <c r="J14" s="8" t="str">
        <f t="shared" si="1"/>
        <v>EUCLID,esa:EUCLID,0</v>
      </c>
      <c r="L14" t="str">
        <f t="shared" si="5"/>
        <v>EUCLID</v>
      </c>
      <c r="M14" s="7" t="s">
        <v>123</v>
      </c>
      <c r="N14" t="s">
        <v>97</v>
      </c>
      <c r="O14" s="2">
        <v>12908</v>
      </c>
      <c r="P14">
        <v>0</v>
      </c>
      <c r="Q14" s="2">
        <f t="shared" si="4"/>
        <v>12908</v>
      </c>
      <c r="S14" s="8" t="str">
        <f t="shared" si="3"/>
        <v>ams_shared,https://ws.cadc-ccda.hia-iha.nrc-cnrc.gc.ca/ams/shared</v>
      </c>
      <c r="U14" s="5" t="s">
        <v>110</v>
      </c>
      <c r="V14" t="s">
        <v>138</v>
      </c>
    </row>
    <row r="15" spans="1:22" ht="17" x14ac:dyDescent="0.2">
      <c r="A15" s="8" t="str">
        <f t="shared" si="0"/>
        <v>DAOPLATES,True,False,True,False,ams_dao</v>
      </c>
      <c r="C15" t="s">
        <v>57</v>
      </c>
      <c r="D15" s="7" t="s">
        <v>123</v>
      </c>
      <c r="E15" s="6" t="s">
        <v>122</v>
      </c>
      <c r="F15" s="7" t="s">
        <v>123</v>
      </c>
      <c r="G15" s="7" t="s">
        <v>122</v>
      </c>
      <c r="H15" t="s">
        <v>104</v>
      </c>
      <c r="J15" s="8" t="str">
        <f t="shared" si="1"/>
        <v>FUSE,cadc:FUSE,0</v>
      </c>
      <c r="L15" t="str">
        <f t="shared" si="5"/>
        <v>FUSE</v>
      </c>
      <c r="M15" s="7" t="s">
        <v>123</v>
      </c>
      <c r="N15" t="s">
        <v>15</v>
      </c>
      <c r="O15" s="2">
        <v>6103762</v>
      </c>
      <c r="P15">
        <v>0</v>
      </c>
      <c r="Q15" s="2">
        <f t="shared" si="4"/>
        <v>6103762</v>
      </c>
      <c r="S15" s="8" t="str">
        <f t="shared" si="3"/>
        <v>mast,https://mast.stsci.edu/vo-tap/api/v0.1/caom</v>
      </c>
      <c r="U15" s="5" t="s">
        <v>80</v>
      </c>
      <c r="V15" t="s">
        <v>139</v>
      </c>
    </row>
    <row r="16" spans="1:22" ht="17" x14ac:dyDescent="0.2">
      <c r="A16" s="8" t="str">
        <f t="shared" si="0"/>
        <v>DRAO,True,False,True,False,ams_drao</v>
      </c>
      <c r="C16" t="s">
        <v>58</v>
      </c>
      <c r="D16" s="7" t="s">
        <v>123</v>
      </c>
      <c r="E16" s="6" t="s">
        <v>122</v>
      </c>
      <c r="F16" s="7" t="s">
        <v>123</v>
      </c>
      <c r="G16" s="7" t="s">
        <v>122</v>
      </c>
      <c r="H16" t="s">
        <v>105</v>
      </c>
      <c r="J16" s="8" t="str">
        <f t="shared" si="1"/>
        <v>GEMINI,cadc:GEMINI,1</v>
      </c>
      <c r="L16" t="str">
        <f t="shared" si="5"/>
        <v>GEMINI</v>
      </c>
      <c r="M16" s="7" t="s">
        <v>123</v>
      </c>
      <c r="N16" t="s">
        <v>16</v>
      </c>
      <c r="O16" s="2">
        <v>4525707</v>
      </c>
      <c r="P16">
        <v>1</v>
      </c>
      <c r="Q16" s="2">
        <f t="shared" si="4"/>
        <v>282856.6875</v>
      </c>
      <c r="S16" s="8" t="str">
        <f t="shared" si="3"/>
        <v>sc2,https://sc2.canfar.net/sc2tap</v>
      </c>
      <c r="U16" s="5" t="s">
        <v>142</v>
      </c>
      <c r="V16" t="s">
        <v>144</v>
      </c>
    </row>
    <row r="17" spans="1:22" ht="17" x14ac:dyDescent="0.2">
      <c r="A17" s="8" t="str">
        <f t="shared" si="0"/>
        <v>EUCLID,True,True,True,False,ams_shared</v>
      </c>
      <c r="C17" t="s">
        <v>89</v>
      </c>
      <c r="D17" s="7" t="s">
        <v>123</v>
      </c>
      <c r="E17" s="6" t="s">
        <v>123</v>
      </c>
      <c r="F17" s="7" t="s">
        <v>123</v>
      </c>
      <c r="G17" s="7" t="s">
        <v>122</v>
      </c>
      <c r="H17" t="s">
        <v>110</v>
      </c>
      <c r="J17" s="8" t="str">
        <f t="shared" si="1"/>
        <v>GEMINI,gemini:GEMINI,0</v>
      </c>
      <c r="L17" t="str">
        <f t="shared" si="5"/>
        <v>GEMINI</v>
      </c>
      <c r="M17" s="7" t="s">
        <v>123</v>
      </c>
      <c r="N17" t="s">
        <v>46</v>
      </c>
      <c r="O17" s="2">
        <v>9187855</v>
      </c>
      <c r="P17">
        <v>0</v>
      </c>
      <c r="Q17" s="2">
        <f t="shared" si="4"/>
        <v>9187855</v>
      </c>
      <c r="S17" s="8" t="str">
        <f t="shared" si="3"/>
        <v>caom25,https://ws.cadc-ccda.hia-iha.nrc-cnrc.gc.ca/caom25/argus</v>
      </c>
      <c r="U17" s="5" t="s">
        <v>145</v>
      </c>
      <c r="V17" t="s">
        <v>146</v>
      </c>
    </row>
    <row r="18" spans="1:22" ht="17" x14ac:dyDescent="0.2">
      <c r="A18" s="8" t="str">
        <f t="shared" si="0"/>
        <v>FUSE,True,False,True,False,ams_shared</v>
      </c>
      <c r="C18" t="s">
        <v>59</v>
      </c>
      <c r="D18" s="7" t="s">
        <v>123</v>
      </c>
      <c r="E18" s="6" t="s">
        <v>122</v>
      </c>
      <c r="F18" s="7" t="s">
        <v>123</v>
      </c>
      <c r="G18" s="7" t="s">
        <v>122</v>
      </c>
      <c r="H18" t="s">
        <v>110</v>
      </c>
      <c r="J18" s="8" t="str">
        <f t="shared" si="1"/>
        <v>GEMINICADC,cadc:GEMINICADC,0</v>
      </c>
      <c r="L18" t="str">
        <f t="shared" si="5"/>
        <v>GEMINICADC</v>
      </c>
      <c r="M18" s="7" t="s">
        <v>123</v>
      </c>
      <c r="N18" t="s">
        <v>17</v>
      </c>
      <c r="O18" s="2">
        <v>31857</v>
      </c>
      <c r="P18">
        <v>0</v>
      </c>
      <c r="Q18" s="2">
        <f t="shared" si="4"/>
        <v>31857</v>
      </c>
    </row>
    <row r="19" spans="1:22" ht="17" x14ac:dyDescent="0.2">
      <c r="A19" s="8" t="str">
        <f t="shared" si="0"/>
        <v>GEMINI,True,True,True,False,ams_gemini</v>
      </c>
      <c r="C19" t="s">
        <v>60</v>
      </c>
      <c r="D19" s="7" t="s">
        <v>123</v>
      </c>
      <c r="E19" s="6" t="s">
        <v>123</v>
      </c>
      <c r="F19" s="7" t="s">
        <v>123</v>
      </c>
      <c r="G19" s="7" t="s">
        <v>122</v>
      </c>
      <c r="H19" t="s">
        <v>107</v>
      </c>
      <c r="J19" s="8" t="str">
        <f t="shared" si="1"/>
        <v>HST,mast:HST,0</v>
      </c>
      <c r="L19" t="str">
        <f t="shared" si="5"/>
        <v>HST</v>
      </c>
      <c r="M19" s="7" t="s">
        <v>123</v>
      </c>
      <c r="N19" t="s">
        <v>47</v>
      </c>
      <c r="O19" s="2">
        <v>26634387</v>
      </c>
      <c r="P19">
        <v>0</v>
      </c>
      <c r="Q19" s="2">
        <f t="shared" si="4"/>
        <v>26634387</v>
      </c>
    </row>
    <row r="20" spans="1:22" ht="17" x14ac:dyDescent="0.2">
      <c r="A20" s="8" t="str">
        <f t="shared" si="0"/>
        <v>GEMINICADC,True,False,True,False,ams_gemini</v>
      </c>
      <c r="C20" t="s">
        <v>61</v>
      </c>
      <c r="D20" s="7" t="s">
        <v>123</v>
      </c>
      <c r="E20" s="6" t="s">
        <v>122</v>
      </c>
      <c r="F20" s="7" t="s">
        <v>123</v>
      </c>
      <c r="G20" s="7" t="s">
        <v>122</v>
      </c>
      <c r="H20" t="s">
        <v>107</v>
      </c>
      <c r="J20" s="8" t="str">
        <f t="shared" si="1"/>
        <v>HSTHLA,cadc:HSTHLA,0</v>
      </c>
      <c r="L20" t="str">
        <f t="shared" si="5"/>
        <v>HSTHLA</v>
      </c>
      <c r="M20" s="7" t="s">
        <v>123</v>
      </c>
      <c r="N20" t="s">
        <v>19</v>
      </c>
      <c r="O20" s="2">
        <v>5813372</v>
      </c>
      <c r="P20">
        <v>0</v>
      </c>
      <c r="Q20" s="2">
        <f t="shared" si="4"/>
        <v>5813372</v>
      </c>
    </row>
    <row r="21" spans="1:22" ht="17" x14ac:dyDescent="0.2">
      <c r="A21" s="8" t="str">
        <f t="shared" si="0"/>
        <v>HST,True,True,True,True,ams_mast</v>
      </c>
      <c r="C21" t="s">
        <v>81</v>
      </c>
      <c r="D21" s="7" t="s">
        <v>123</v>
      </c>
      <c r="E21" s="6" t="s">
        <v>123</v>
      </c>
      <c r="F21" s="7" t="s">
        <v>123</v>
      </c>
      <c r="G21" s="7" t="s">
        <v>123</v>
      </c>
      <c r="H21" t="s">
        <v>111</v>
      </c>
      <c r="J21" s="8" t="str">
        <f t="shared" si="1"/>
        <v>IRIS,cadc:IRIS,0</v>
      </c>
      <c r="L21" t="str">
        <f t="shared" si="5"/>
        <v>IRIS</v>
      </c>
      <c r="M21" s="7" t="s">
        <v>123</v>
      </c>
      <c r="N21" t="s">
        <v>20</v>
      </c>
      <c r="O21" s="2">
        <v>2580</v>
      </c>
      <c r="P21">
        <v>0</v>
      </c>
      <c r="Q21" s="2">
        <f t="shared" si="4"/>
        <v>2580</v>
      </c>
    </row>
    <row r="22" spans="1:22" ht="17" x14ac:dyDescent="0.2">
      <c r="A22" s="8" t="str">
        <f t="shared" si="0"/>
        <v>HSTHLA,True,False,True,False,ams_shared</v>
      </c>
      <c r="C22" t="s">
        <v>62</v>
      </c>
      <c r="D22" s="7" t="s">
        <v>123</v>
      </c>
      <c r="E22" s="6" t="s">
        <v>122</v>
      </c>
      <c r="F22" s="7" t="s">
        <v>123</v>
      </c>
      <c r="G22" s="7" t="s">
        <v>122</v>
      </c>
      <c r="H22" t="s">
        <v>110</v>
      </c>
      <c r="J22" s="8" t="str">
        <f t="shared" si="1"/>
        <v>JCMT,cadc:JCMT,0</v>
      </c>
      <c r="L22" t="str">
        <f t="shared" si="5"/>
        <v>JCMT</v>
      </c>
      <c r="M22" s="7" t="s">
        <v>123</v>
      </c>
      <c r="N22" t="s">
        <v>21</v>
      </c>
      <c r="O22" s="2">
        <v>26170959</v>
      </c>
      <c r="P22">
        <v>0</v>
      </c>
      <c r="Q22" s="2">
        <f t="shared" si="4"/>
        <v>26170959</v>
      </c>
    </row>
    <row r="23" spans="1:22" ht="17" x14ac:dyDescent="0.2">
      <c r="A23" s="8" t="str">
        <f t="shared" si="0"/>
        <v>IRIS,True,False,True,False,ams_shared</v>
      </c>
      <c r="C23" t="s">
        <v>63</v>
      </c>
      <c r="D23" s="7" t="s">
        <v>123</v>
      </c>
      <c r="E23" s="6" t="s">
        <v>122</v>
      </c>
      <c r="F23" s="7" t="s">
        <v>123</v>
      </c>
      <c r="G23" s="7" t="s">
        <v>122</v>
      </c>
      <c r="H23" t="s">
        <v>110</v>
      </c>
      <c r="J23" s="8" t="str">
        <f t="shared" si="1"/>
        <v>JCMTLS,cadc:JCMTLS,0</v>
      </c>
      <c r="L23" t="str">
        <f t="shared" si="5"/>
        <v>JCMTLS</v>
      </c>
      <c r="M23" s="7" t="s">
        <v>123</v>
      </c>
      <c r="N23" t="s">
        <v>22</v>
      </c>
      <c r="O23" s="2">
        <v>315</v>
      </c>
      <c r="P23">
        <v>0</v>
      </c>
      <c r="Q23" s="2">
        <f t="shared" si="4"/>
        <v>315</v>
      </c>
    </row>
    <row r="24" spans="1:22" ht="17" x14ac:dyDescent="0.2">
      <c r="A24" s="8" t="str">
        <f t="shared" si="0"/>
        <v>JCMT,True,True,True,False,ams_eao</v>
      </c>
      <c r="C24" t="s">
        <v>64</v>
      </c>
      <c r="D24" s="7" t="s">
        <v>123</v>
      </c>
      <c r="E24" s="6" t="s">
        <v>123</v>
      </c>
      <c r="F24" s="7" t="s">
        <v>123</v>
      </c>
      <c r="G24" s="7" t="s">
        <v>122</v>
      </c>
      <c r="H24" t="s">
        <v>106</v>
      </c>
      <c r="J24" s="8" t="str">
        <f t="shared" si="1"/>
        <v>JWST,mast:JWST,0</v>
      </c>
      <c r="L24" t="str">
        <f t="shared" si="5"/>
        <v>JWST</v>
      </c>
      <c r="M24" s="7" t="s">
        <v>123</v>
      </c>
      <c r="N24" t="s">
        <v>48</v>
      </c>
      <c r="O24" s="2">
        <v>17427874</v>
      </c>
      <c r="P24">
        <v>0</v>
      </c>
      <c r="Q24" s="2">
        <f t="shared" si="4"/>
        <v>17427874</v>
      </c>
    </row>
    <row r="25" spans="1:22" ht="17" x14ac:dyDescent="0.2">
      <c r="A25" s="8" t="str">
        <f t="shared" si="0"/>
        <v>JCMTLS,True,False,True,False,ams_eao</v>
      </c>
      <c r="C25" t="s">
        <v>65</v>
      </c>
      <c r="D25" s="7" t="s">
        <v>123</v>
      </c>
      <c r="E25" s="6" t="s">
        <v>122</v>
      </c>
      <c r="F25" s="7" t="s">
        <v>123</v>
      </c>
      <c r="G25" s="7" t="s">
        <v>122</v>
      </c>
      <c r="H25" t="s">
        <v>106</v>
      </c>
      <c r="J25" s="8" t="str">
        <f t="shared" si="1"/>
        <v>LSST.DP1,lsst:dp1,0</v>
      </c>
      <c r="L25" t="s">
        <v>141</v>
      </c>
      <c r="M25" s="7" t="s">
        <v>123</v>
      </c>
      <c r="N25" t="s">
        <v>143</v>
      </c>
      <c r="O25" s="2">
        <v>8906</v>
      </c>
      <c r="P25">
        <v>0</v>
      </c>
      <c r="Q25" s="2">
        <f>O25/16^P25</f>
        <v>8906</v>
      </c>
    </row>
    <row r="26" spans="1:22" ht="17" x14ac:dyDescent="0.2">
      <c r="A26" s="8" t="str">
        <f t="shared" si="0"/>
        <v>JWST,True,True,True,True,ams_mast</v>
      </c>
      <c r="C26" t="s">
        <v>82</v>
      </c>
      <c r="D26" s="7" t="s">
        <v>123</v>
      </c>
      <c r="E26" s="6" t="s">
        <v>123</v>
      </c>
      <c r="F26" s="7" t="s">
        <v>123</v>
      </c>
      <c r="G26" s="7" t="s">
        <v>123</v>
      </c>
      <c r="H26" t="s">
        <v>111</v>
      </c>
      <c r="J26" s="8" t="str">
        <f t="shared" si="1"/>
        <v>LOTSS,astron:LOTSS,0</v>
      </c>
      <c r="L26" t="s">
        <v>147</v>
      </c>
      <c r="M26" s="7" t="s">
        <v>123</v>
      </c>
      <c r="N26" t="s">
        <v>95</v>
      </c>
      <c r="O26" s="2">
        <v>1682</v>
      </c>
      <c r="P26">
        <v>0</v>
      </c>
      <c r="Q26" s="2">
        <f>O26/16^P26</f>
        <v>1682</v>
      </c>
    </row>
    <row r="27" spans="1:22" ht="17" x14ac:dyDescent="0.2">
      <c r="A27" s="8" t="str">
        <f t="shared" si="0"/>
        <v>LSST.DP1,False,True,True,False,sc2</v>
      </c>
      <c r="C27" t="s">
        <v>141</v>
      </c>
      <c r="D27" s="7" t="s">
        <v>122</v>
      </c>
      <c r="E27" s="6" t="s">
        <v>123</v>
      </c>
      <c r="F27" s="7" t="s">
        <v>123</v>
      </c>
      <c r="G27" s="7" t="s">
        <v>122</v>
      </c>
      <c r="H27" t="s">
        <v>142</v>
      </c>
      <c r="J27" s="8" t="str">
        <f t="shared" si="1"/>
        <v>MACHO,cadc:MACHO,0</v>
      </c>
      <c r="L27" t="str">
        <f t="shared" si="5"/>
        <v>MACHO</v>
      </c>
      <c r="M27" s="7" t="s">
        <v>123</v>
      </c>
      <c r="N27" t="s">
        <v>25</v>
      </c>
      <c r="O27" s="2">
        <v>240554</v>
      </c>
      <c r="P27">
        <v>0</v>
      </c>
      <c r="Q27" s="2">
        <f t="shared" si="4"/>
        <v>240554</v>
      </c>
    </row>
    <row r="28" spans="1:22" ht="17" x14ac:dyDescent="0.2">
      <c r="A28" s="8" t="str">
        <f t="shared" si="0"/>
        <v>LOTSS,False,False,True,False,caom25</v>
      </c>
      <c r="C28" t="s">
        <v>147</v>
      </c>
      <c r="D28" s="7" t="s">
        <v>122</v>
      </c>
      <c r="E28" s="6" t="s">
        <v>122</v>
      </c>
      <c r="F28" s="7" t="s">
        <v>123</v>
      </c>
      <c r="G28" s="7" t="s">
        <v>122</v>
      </c>
      <c r="H28" s="7" t="s">
        <v>145</v>
      </c>
      <c r="J28" s="8" t="str">
        <f t="shared" si="1"/>
        <v>MOST,cadc:MOST,0</v>
      </c>
      <c r="L28" t="str">
        <f t="shared" si="5"/>
        <v>MOST</v>
      </c>
      <c r="M28" s="7" t="s">
        <v>123</v>
      </c>
      <c r="N28" t="s">
        <v>26</v>
      </c>
      <c r="O28" s="2">
        <v>23405</v>
      </c>
      <c r="P28">
        <v>0</v>
      </c>
      <c r="Q28" s="2">
        <f t="shared" si="4"/>
        <v>23405</v>
      </c>
    </row>
    <row r="29" spans="1:22" ht="17" x14ac:dyDescent="0.2">
      <c r="A29" s="8" t="str">
        <f t="shared" si="0"/>
        <v>MACHO,True,False,True,False,ams_shared</v>
      </c>
      <c r="C29" t="s">
        <v>66</v>
      </c>
      <c r="D29" s="7" t="s">
        <v>123</v>
      </c>
      <c r="E29" s="6" t="s">
        <v>122</v>
      </c>
      <c r="F29" s="7" t="s">
        <v>123</v>
      </c>
      <c r="G29" s="7" t="s">
        <v>122</v>
      </c>
      <c r="H29" t="s">
        <v>110</v>
      </c>
      <c r="J29" s="8" t="str">
        <f t="shared" si="1"/>
        <v>NEOSSAT,cadc:NEOSSAT,0</v>
      </c>
      <c r="L29" t="str">
        <f t="shared" si="5"/>
        <v>NEOSSAT</v>
      </c>
      <c r="M29" s="7" t="s">
        <v>123</v>
      </c>
      <c r="N29" t="s">
        <v>28</v>
      </c>
      <c r="O29" s="2">
        <v>2919787</v>
      </c>
      <c r="P29">
        <v>0</v>
      </c>
      <c r="Q29" s="2">
        <f t="shared" si="4"/>
        <v>2919787</v>
      </c>
    </row>
    <row r="30" spans="1:22" ht="17" x14ac:dyDescent="0.2">
      <c r="A30" s="8" t="str">
        <f t="shared" si="0"/>
        <v>MOST,True,False,True,False,ams_shared</v>
      </c>
      <c r="C30" t="s">
        <v>67</v>
      </c>
      <c r="D30" s="7" t="s">
        <v>123</v>
      </c>
      <c r="E30" s="6" t="s">
        <v>122</v>
      </c>
      <c r="F30" s="7" t="s">
        <v>123</v>
      </c>
      <c r="G30" s="7" t="s">
        <v>122</v>
      </c>
      <c r="H30" t="s">
        <v>110</v>
      </c>
      <c r="J30" s="8" t="str">
        <f t="shared" si="1"/>
        <v>NGVS,cadc:NGVS,0</v>
      </c>
      <c r="L30" t="str">
        <f t="shared" si="5"/>
        <v>NGVS</v>
      </c>
      <c r="M30" s="7" t="s">
        <v>123</v>
      </c>
      <c r="N30" t="s">
        <v>29</v>
      </c>
      <c r="O30" s="2">
        <v>40126</v>
      </c>
      <c r="P30">
        <v>0</v>
      </c>
      <c r="Q30" s="2">
        <f t="shared" si="4"/>
        <v>40126</v>
      </c>
    </row>
    <row r="31" spans="1:22" ht="17" x14ac:dyDescent="0.2">
      <c r="A31" s="8" t="str">
        <f t="shared" si="0"/>
        <v>NEOSSAT,True,True,True,False,ams_shared</v>
      </c>
      <c r="C31" t="s">
        <v>68</v>
      </c>
      <c r="D31" s="7" t="s">
        <v>123</v>
      </c>
      <c r="E31" s="6" t="s">
        <v>123</v>
      </c>
      <c r="F31" s="7" t="s">
        <v>123</v>
      </c>
      <c r="G31" s="7" t="s">
        <v>122</v>
      </c>
      <c r="H31" t="s">
        <v>110</v>
      </c>
      <c r="J31" s="8" t="str">
        <f t="shared" si="1"/>
        <v>OMM,cadc:OMM,0</v>
      </c>
      <c r="L31" t="str">
        <f t="shared" si="5"/>
        <v>OMM</v>
      </c>
      <c r="M31" s="7" t="s">
        <v>123</v>
      </c>
      <c r="N31" t="s">
        <v>30</v>
      </c>
      <c r="O31" s="2">
        <v>2368393</v>
      </c>
      <c r="P31">
        <v>0</v>
      </c>
      <c r="Q31" s="2">
        <f t="shared" si="4"/>
        <v>2368393</v>
      </c>
    </row>
    <row r="32" spans="1:22" ht="17" x14ac:dyDescent="0.2">
      <c r="A32" s="8" t="str">
        <f t="shared" si="0"/>
        <v>NGVS,True,False,True,False,ams_ngvs</v>
      </c>
      <c r="C32" t="s">
        <v>69</v>
      </c>
      <c r="D32" s="7" t="s">
        <v>123</v>
      </c>
      <c r="E32" s="6" t="s">
        <v>122</v>
      </c>
      <c r="F32" s="7" t="s">
        <v>123</v>
      </c>
      <c r="G32" s="7" t="s">
        <v>122</v>
      </c>
      <c r="H32" t="s">
        <v>108</v>
      </c>
      <c r="J32" s="8" t="str">
        <f t="shared" si="1"/>
        <v>POSSUM,cadc:POSSUM,0</v>
      </c>
      <c r="L32" t="str">
        <f t="shared" si="5"/>
        <v>POSSUM</v>
      </c>
      <c r="M32" s="7" t="s">
        <v>123</v>
      </c>
      <c r="N32" t="s">
        <v>31</v>
      </c>
      <c r="O32" s="2">
        <v>7778</v>
      </c>
      <c r="P32">
        <v>0</v>
      </c>
      <c r="Q32" s="2">
        <f t="shared" si="4"/>
        <v>7778</v>
      </c>
    </row>
    <row r="33" spans="1:17" ht="17" x14ac:dyDescent="0.2">
      <c r="A33" s="8" t="str">
        <f t="shared" si="0"/>
        <v>NOAO,True,False,False,False,ams_maq</v>
      </c>
      <c r="C33" t="s">
        <v>90</v>
      </c>
      <c r="D33" s="7" t="s">
        <v>123</v>
      </c>
      <c r="E33" s="6" t="s">
        <v>122</v>
      </c>
      <c r="F33" s="7" t="s">
        <v>122</v>
      </c>
      <c r="G33" s="7" t="s">
        <v>122</v>
      </c>
      <c r="H33" t="s">
        <v>112</v>
      </c>
      <c r="J33" s="8" t="str">
        <f t="shared" si="1"/>
        <v>RACS,casda:RACS,0</v>
      </c>
      <c r="L33" t="str">
        <f t="shared" si="5"/>
        <v>RACS</v>
      </c>
      <c r="M33" s="7" t="s">
        <v>123</v>
      </c>
      <c r="N33" t="s">
        <v>45</v>
      </c>
      <c r="O33" s="2">
        <v>799</v>
      </c>
      <c r="P33">
        <v>0</v>
      </c>
      <c r="Q33" s="2">
        <f t="shared" si="4"/>
        <v>799</v>
      </c>
    </row>
    <row r="34" spans="1:17" ht="17" x14ac:dyDescent="0.2">
      <c r="A34" s="8" t="str">
        <f t="shared" si="0"/>
        <v>OMM,True,True,True,False,ams_omm</v>
      </c>
      <c r="C34" t="s">
        <v>70</v>
      </c>
      <c r="D34" s="7" t="s">
        <v>123</v>
      </c>
      <c r="E34" s="6" t="s">
        <v>123</v>
      </c>
      <c r="F34" s="7" t="s">
        <v>123</v>
      </c>
      <c r="G34" s="7" t="s">
        <v>122</v>
      </c>
      <c r="H34" t="s">
        <v>109</v>
      </c>
      <c r="J34" s="8" t="str">
        <f t="shared" si="1"/>
        <v>SCUBA-LC,cadc:SCUBA-LC,0</v>
      </c>
      <c r="L34" t="str">
        <f t="shared" si="5"/>
        <v>SCUBA-LC</v>
      </c>
      <c r="M34" s="7" t="s">
        <v>123</v>
      </c>
      <c r="N34" t="s">
        <v>35</v>
      </c>
      <c r="O34" s="2">
        <v>11177</v>
      </c>
      <c r="P34">
        <v>0</v>
      </c>
      <c r="Q34" s="2">
        <f t="shared" si="4"/>
        <v>11177</v>
      </c>
    </row>
    <row r="35" spans="1:17" ht="17" x14ac:dyDescent="0.2">
      <c r="A35" s="8" t="str">
        <f t="shared" si="0"/>
        <v>POSSUM,True,D,True,False,ams_cirada</v>
      </c>
      <c r="C35" t="s">
        <v>71</v>
      </c>
      <c r="D35" s="7" t="s">
        <v>123</v>
      </c>
      <c r="E35" s="6" t="s">
        <v>116</v>
      </c>
      <c r="F35" s="7" t="s">
        <v>123</v>
      </c>
      <c r="G35" s="7" t="s">
        <v>122</v>
      </c>
      <c r="H35" t="s">
        <v>103</v>
      </c>
      <c r="J35" s="8" t="str">
        <f t="shared" si="1"/>
        <v>SUBARUCADC,cadc:SUBARUCADC,0</v>
      </c>
      <c r="L35" t="str">
        <f t="shared" si="5"/>
        <v>SUBARUCADC</v>
      </c>
      <c r="M35" s="7" t="s">
        <v>123</v>
      </c>
      <c r="N35" t="s">
        <v>36</v>
      </c>
      <c r="O35" s="2">
        <v>279480</v>
      </c>
      <c r="P35">
        <v>0</v>
      </c>
      <c r="Q35" s="2">
        <f t="shared" si="4"/>
        <v>279480</v>
      </c>
    </row>
    <row r="36" spans="1:17" ht="17" x14ac:dyDescent="0.2">
      <c r="A36" s="8" t="str">
        <f t="shared" si="0"/>
        <v>RACS,True,False,True,False,ams_cirada</v>
      </c>
      <c r="C36" t="s">
        <v>79</v>
      </c>
      <c r="D36" s="7" t="s">
        <v>123</v>
      </c>
      <c r="E36" s="6" t="s">
        <v>122</v>
      </c>
      <c r="F36" s="7" t="s">
        <v>123</v>
      </c>
      <c r="G36" s="7" t="s">
        <v>122</v>
      </c>
      <c r="H36" t="s">
        <v>103</v>
      </c>
      <c r="J36" s="8" t="str">
        <f t="shared" si="1"/>
        <v>TAOSII,cadc:TAOSII,0</v>
      </c>
      <c r="L36" t="str">
        <f t="shared" si="5"/>
        <v>TAOSII</v>
      </c>
      <c r="M36" s="7" t="s">
        <v>123</v>
      </c>
      <c r="N36" t="s">
        <v>37</v>
      </c>
      <c r="O36" s="2">
        <v>47</v>
      </c>
      <c r="P36">
        <v>0</v>
      </c>
      <c r="Q36" s="2">
        <f t="shared" si="4"/>
        <v>47</v>
      </c>
    </row>
    <row r="37" spans="1:17" ht="17" x14ac:dyDescent="0.2">
      <c r="A37" s="8" t="str">
        <f t="shared" si="0"/>
        <v>SCUBA-LC,True,False,True,False,ams_eao</v>
      </c>
      <c r="C37" t="s">
        <v>72</v>
      </c>
      <c r="D37" s="7" t="s">
        <v>123</v>
      </c>
      <c r="E37" s="6" t="s">
        <v>122</v>
      </c>
      <c r="F37" s="7" t="s">
        <v>123</v>
      </c>
      <c r="G37" s="7" t="s">
        <v>122</v>
      </c>
      <c r="H37" t="s">
        <v>106</v>
      </c>
      <c r="J37" s="8" t="str">
        <f t="shared" si="1"/>
        <v>UKIRT,cadc:UKIRT,0</v>
      </c>
      <c r="L37" t="str">
        <f t="shared" si="5"/>
        <v>UKIRT</v>
      </c>
      <c r="M37" s="7" t="s">
        <v>123</v>
      </c>
      <c r="N37" t="s">
        <v>39</v>
      </c>
      <c r="O37" s="2">
        <v>1399134</v>
      </c>
      <c r="P37">
        <v>0</v>
      </c>
      <c r="Q37" s="2">
        <f t="shared" si="4"/>
        <v>1399134</v>
      </c>
    </row>
    <row r="38" spans="1:17" ht="17" x14ac:dyDescent="0.2">
      <c r="A38" s="8" t="str">
        <f t="shared" si="0"/>
        <v>SDSS,True,False,False,False,ams_maq</v>
      </c>
      <c r="C38" t="s">
        <v>91</v>
      </c>
      <c r="D38" s="7" t="s">
        <v>123</v>
      </c>
      <c r="E38" s="6" t="s">
        <v>122</v>
      </c>
      <c r="F38" s="7" t="s">
        <v>122</v>
      </c>
      <c r="G38" s="7" t="s">
        <v>122</v>
      </c>
      <c r="H38" t="s">
        <v>112</v>
      </c>
      <c r="J38" s="8" t="str">
        <f t="shared" si="1"/>
        <v>VGPS,cadc:VGPS,0</v>
      </c>
      <c r="L38" t="str">
        <f t="shared" si="5"/>
        <v>VGPS</v>
      </c>
      <c r="M38" s="7" t="s">
        <v>123</v>
      </c>
      <c r="N38" t="s">
        <v>41</v>
      </c>
      <c r="O38" s="2">
        <v>118</v>
      </c>
      <c r="P38">
        <v>0</v>
      </c>
      <c r="Q38" s="2">
        <f t="shared" si="4"/>
        <v>118</v>
      </c>
    </row>
    <row r="39" spans="1:17" ht="17" x14ac:dyDescent="0.2">
      <c r="A39" s="8" t="str">
        <f t="shared" si="0"/>
        <v>SUBARU,True,False,False,False,ams_maq</v>
      </c>
      <c r="C39" t="s">
        <v>92</v>
      </c>
      <c r="D39" s="7" t="s">
        <v>123</v>
      </c>
      <c r="E39" s="6" t="s">
        <v>122</v>
      </c>
      <c r="F39" s="7" t="s">
        <v>122</v>
      </c>
      <c r="G39" s="7" t="s">
        <v>122</v>
      </c>
      <c r="H39" t="s">
        <v>112</v>
      </c>
      <c r="J39" s="8" t="str">
        <f t="shared" si="1"/>
        <v>VLASS,cadc:VLASS,0</v>
      </c>
      <c r="L39" t="str">
        <f t="shared" si="5"/>
        <v>VLASS</v>
      </c>
      <c r="M39" s="7" t="s">
        <v>123</v>
      </c>
      <c r="N39" t="s">
        <v>42</v>
      </c>
      <c r="O39" s="2">
        <v>249449</v>
      </c>
      <c r="P39">
        <v>0</v>
      </c>
      <c r="Q39" s="2">
        <f t="shared" si="4"/>
        <v>249449</v>
      </c>
    </row>
    <row r="40" spans="1:17" ht="17" x14ac:dyDescent="0.2">
      <c r="A40" s="8" t="str">
        <f t="shared" si="0"/>
        <v>SUBARUCADC,True,False,True,False,ams_shared</v>
      </c>
      <c r="C40" t="s">
        <v>73</v>
      </c>
      <c r="D40" s="7" t="s">
        <v>123</v>
      </c>
      <c r="E40" s="6" t="s">
        <v>122</v>
      </c>
      <c r="F40" s="7" t="s">
        <v>123</v>
      </c>
      <c r="G40" s="7" t="s">
        <v>122</v>
      </c>
      <c r="H40" t="s">
        <v>110</v>
      </c>
      <c r="J40" s="8" t="str">
        <f t="shared" si="1"/>
        <v>VLASS,nrao:VLASS,0</v>
      </c>
      <c r="L40" t="str">
        <f t="shared" si="5"/>
        <v>VLASS</v>
      </c>
      <c r="M40" s="7" t="s">
        <v>123</v>
      </c>
      <c r="N40" t="s">
        <v>49</v>
      </c>
      <c r="O40" s="2">
        <v>341022</v>
      </c>
      <c r="P40">
        <v>0</v>
      </c>
      <c r="Q40" s="2">
        <f t="shared" si="4"/>
        <v>341022</v>
      </c>
    </row>
    <row r="41" spans="1:17" ht="17" x14ac:dyDescent="0.2">
      <c r="A41" s="8" t="str">
        <f t="shared" si="0"/>
        <v>TAOSII,True,True,True,False,ams_shared</v>
      </c>
      <c r="C41" t="s">
        <v>74</v>
      </c>
      <c r="D41" s="7" t="s">
        <v>123</v>
      </c>
      <c r="E41" s="6" t="s">
        <v>123</v>
      </c>
      <c r="F41" s="7" t="s">
        <v>123</v>
      </c>
      <c r="G41" s="7" t="s">
        <v>122</v>
      </c>
      <c r="H41" t="s">
        <v>110</v>
      </c>
      <c r="J41" s="8" t="str">
        <f t="shared" si="1"/>
        <v>WALLABY,cadc:WALLABY,0</v>
      </c>
      <c r="L41" t="str">
        <f t="shared" si="5"/>
        <v>WALLABY</v>
      </c>
      <c r="M41" s="7" t="s">
        <v>123</v>
      </c>
      <c r="N41" t="s">
        <v>43</v>
      </c>
      <c r="O41" s="2">
        <v>36421</v>
      </c>
      <c r="P41">
        <v>0</v>
      </c>
      <c r="Q41" s="2">
        <f t="shared" si="4"/>
        <v>36421</v>
      </c>
    </row>
    <row r="42" spans="1:17" ht="17" x14ac:dyDescent="0.2">
      <c r="A42" s="8" t="str">
        <f t="shared" si="0"/>
        <v>TESS,True,True,False,True,ams_mast</v>
      </c>
      <c r="C42" t="s">
        <v>93</v>
      </c>
      <c r="D42" s="7" t="s">
        <v>123</v>
      </c>
      <c r="E42" s="6" t="s">
        <v>123</v>
      </c>
      <c r="F42" s="6" t="s">
        <v>122</v>
      </c>
      <c r="G42" s="7" t="s">
        <v>123</v>
      </c>
      <c r="H42" t="s">
        <v>111</v>
      </c>
      <c r="Q42" s="9">
        <f>MAX(Q3:Q41)</f>
        <v>26634387</v>
      </c>
    </row>
    <row r="43" spans="1:17" ht="17" x14ac:dyDescent="0.2">
      <c r="A43" s="8" t="str">
        <f t="shared" si="0"/>
        <v>UKIRT,True,False,True,False,ams_eao</v>
      </c>
      <c r="C43" t="s">
        <v>75</v>
      </c>
      <c r="D43" s="7" t="s">
        <v>123</v>
      </c>
      <c r="E43" s="6" t="s">
        <v>122</v>
      </c>
      <c r="F43" s="7" t="s">
        <v>123</v>
      </c>
      <c r="G43" s="7" t="s">
        <v>122</v>
      </c>
      <c r="H43" t="s">
        <v>106</v>
      </c>
      <c r="Q43" s="9">
        <f>MEDIAN(Q3:Q41)</f>
        <v>40126</v>
      </c>
    </row>
    <row r="44" spans="1:17" ht="17" x14ac:dyDescent="0.2">
      <c r="A44" s="8" t="str">
        <f t="shared" si="0"/>
        <v>VGPS,True,False,True,False,ams_drao</v>
      </c>
      <c r="C44" t="s">
        <v>76</v>
      </c>
      <c r="D44" s="7" t="s">
        <v>123</v>
      </c>
      <c r="E44" s="6" t="s">
        <v>122</v>
      </c>
      <c r="F44" s="7" t="s">
        <v>123</v>
      </c>
      <c r="G44" s="7" t="s">
        <v>122</v>
      </c>
      <c r="H44" t="s">
        <v>105</v>
      </c>
      <c r="Q44" s="9">
        <f>AVERAGE(Q3:Q41)</f>
        <v>3286786.735576923</v>
      </c>
    </row>
    <row r="45" spans="1:17" ht="17" x14ac:dyDescent="0.2">
      <c r="A45" s="8" t="str">
        <f t="shared" si="0"/>
        <v>VLASS,True,True,True,False,ams_cirada</v>
      </c>
      <c r="C45" t="s">
        <v>77</v>
      </c>
      <c r="D45" s="7" t="s">
        <v>123</v>
      </c>
      <c r="E45" s="6" t="s">
        <v>123</v>
      </c>
      <c r="F45" s="7" t="s">
        <v>123</v>
      </c>
      <c r="G45" s="7" t="s">
        <v>122</v>
      </c>
      <c r="H45" t="s">
        <v>103</v>
      </c>
    </row>
    <row r="46" spans="1:17" ht="17" x14ac:dyDescent="0.2">
      <c r="A46" s="8" t="str">
        <f t="shared" si="0"/>
        <v>WALLABY,True,True,True,False,ams_cirada</v>
      </c>
      <c r="C46" t="s">
        <v>78</v>
      </c>
      <c r="D46" s="7" t="s">
        <v>123</v>
      </c>
      <c r="E46" s="6" t="s">
        <v>123</v>
      </c>
      <c r="F46" s="7" t="s">
        <v>123</v>
      </c>
      <c r="G46" s="7" t="s">
        <v>122</v>
      </c>
      <c r="H46" t="s">
        <v>103</v>
      </c>
    </row>
    <row r="47" spans="1:17" ht="17" x14ac:dyDescent="0.2">
      <c r="A47" s="8" t="str">
        <f t="shared" si="0"/>
        <v>XMM,True,False,False,False,ams_maq</v>
      </c>
      <c r="C47" t="s">
        <v>94</v>
      </c>
      <c r="D47" s="7" t="s">
        <v>123</v>
      </c>
      <c r="E47" s="7" t="s">
        <v>122</v>
      </c>
      <c r="F47" s="7" t="s">
        <v>122</v>
      </c>
      <c r="G47" s="7" t="s">
        <v>122</v>
      </c>
      <c r="H47" t="s">
        <v>112</v>
      </c>
    </row>
    <row r="48" spans="1:17" x14ac:dyDescent="0.2">
      <c r="A48" s="8"/>
      <c r="E48" s="6"/>
    </row>
    <row r="49" spans="1:17" x14ac:dyDescent="0.2">
      <c r="A49" s="8"/>
      <c r="E49" s="6"/>
    </row>
    <row r="50" spans="1:17" ht="17" x14ac:dyDescent="0.2">
      <c r="J50" s="8" t="str">
        <f t="shared" ref="J50:J51" si="6">_xlfn.CONCAT(L50,",",N50,",",P50)</f>
        <v>AICO,cadc:AICO,0</v>
      </c>
      <c r="L50" t="str">
        <f t="shared" ref="L50:L66" si="7">_xlfn.TEXTAFTER(N50,":")</f>
        <v>AICO</v>
      </c>
      <c r="M50" s="7" t="s">
        <v>122</v>
      </c>
      <c r="N50" t="s">
        <v>0</v>
      </c>
      <c r="O50" s="2">
        <v>36</v>
      </c>
      <c r="P50">
        <v>0</v>
      </c>
      <c r="Q50" s="2" t="str">
        <f t="shared" ref="Q50:Q66" si="8">IF(P50&lt;&gt;0,O50/16^P50,"")</f>
        <v/>
      </c>
    </row>
    <row r="51" spans="1:17" ht="17" x14ac:dyDescent="0.2">
      <c r="J51" s="8" t="str">
        <f t="shared" si="6"/>
        <v>CGRT,cadc:CGRT,0</v>
      </c>
      <c r="L51" t="str">
        <f t="shared" si="7"/>
        <v>CGRT</v>
      </c>
      <c r="M51" s="7" t="s">
        <v>122</v>
      </c>
      <c r="N51" t="s">
        <v>7</v>
      </c>
      <c r="O51" s="2">
        <v>6054</v>
      </c>
      <c r="P51">
        <v>0</v>
      </c>
      <c r="Q51" s="2" t="str">
        <f t="shared" si="8"/>
        <v/>
      </c>
    </row>
    <row r="52" spans="1:17" x14ac:dyDescent="0.2">
      <c r="L52" t="str">
        <f t="shared" si="7"/>
        <v>CHIMEFRB</v>
      </c>
      <c r="M52" s="7" t="s">
        <v>122</v>
      </c>
      <c r="N52" t="s">
        <v>96</v>
      </c>
      <c r="O52" s="2">
        <v>38935553</v>
      </c>
      <c r="P52">
        <v>2</v>
      </c>
      <c r="Q52" s="2">
        <f t="shared" si="8"/>
        <v>152092.00390625</v>
      </c>
    </row>
    <row r="53" spans="1:17" x14ac:dyDescent="0.2">
      <c r="L53" t="str">
        <f t="shared" si="7"/>
        <v>CXO</v>
      </c>
      <c r="M53" s="7" t="s">
        <v>122</v>
      </c>
      <c r="N53" t="s">
        <v>8</v>
      </c>
      <c r="O53" s="2">
        <v>6249</v>
      </c>
      <c r="P53">
        <v>0</v>
      </c>
      <c r="Q53" s="2" t="str">
        <f t="shared" si="8"/>
        <v/>
      </c>
    </row>
    <row r="54" spans="1:17" x14ac:dyDescent="0.2">
      <c r="L54" t="str">
        <f t="shared" si="7"/>
        <v>DSS</v>
      </c>
      <c r="M54" s="7" t="s">
        <v>122</v>
      </c>
      <c r="N54" t="s">
        <v>13</v>
      </c>
      <c r="O54" s="2">
        <v>1211218</v>
      </c>
      <c r="P54">
        <v>1</v>
      </c>
      <c r="Q54" s="2">
        <f t="shared" si="8"/>
        <v>75701.125</v>
      </c>
    </row>
    <row r="55" spans="1:17" x14ac:dyDescent="0.2">
      <c r="L55" t="str">
        <f t="shared" si="7"/>
        <v>FIRST</v>
      </c>
      <c r="M55" s="7" t="s">
        <v>122</v>
      </c>
      <c r="N55" t="s">
        <v>14</v>
      </c>
      <c r="O55" s="2">
        <v>29153</v>
      </c>
      <c r="P55">
        <v>0</v>
      </c>
      <c r="Q55" s="2" t="str">
        <f t="shared" si="8"/>
        <v/>
      </c>
    </row>
    <row r="56" spans="1:17" x14ac:dyDescent="0.2">
      <c r="L56" t="str">
        <f t="shared" si="7"/>
        <v>GSKY</v>
      </c>
      <c r="M56" s="7" t="s">
        <v>122</v>
      </c>
      <c r="N56" t="s">
        <v>18</v>
      </c>
      <c r="O56" s="2">
        <v>2687641</v>
      </c>
      <c r="P56">
        <v>1</v>
      </c>
      <c r="Q56" s="2">
        <f t="shared" si="8"/>
        <v>167977.5625</v>
      </c>
    </row>
    <row r="57" spans="1:17" x14ac:dyDescent="0.2">
      <c r="L57" t="str">
        <f t="shared" si="7"/>
        <v>JCMTSL</v>
      </c>
      <c r="M57" s="7" t="s">
        <v>122</v>
      </c>
      <c r="N57" t="s">
        <v>23</v>
      </c>
      <c r="O57" s="2">
        <v>15</v>
      </c>
      <c r="P57">
        <v>0</v>
      </c>
      <c r="Q57" s="2" t="str">
        <f t="shared" si="8"/>
        <v/>
      </c>
    </row>
    <row r="58" spans="1:17" x14ac:dyDescent="0.2">
      <c r="L58" t="str">
        <f t="shared" si="7"/>
        <v>JCMTST</v>
      </c>
      <c r="M58" s="7" t="s">
        <v>122</v>
      </c>
      <c r="N58" t="s">
        <v>24</v>
      </c>
      <c r="O58" s="2">
        <v>306</v>
      </c>
      <c r="P58">
        <v>0</v>
      </c>
      <c r="Q58" s="2" t="str">
        <f t="shared" si="8"/>
        <v/>
      </c>
    </row>
    <row r="59" spans="1:17" ht="17" x14ac:dyDescent="0.2">
      <c r="J59" s="8" t="str">
        <f t="shared" ref="J59" si="9">_xlfn.CONCAT(L59,",",N59,",",P59)</f>
        <v>LOTSS,astron:LOTSS,0</v>
      </c>
      <c r="L59" t="str">
        <f t="shared" si="7"/>
        <v>LOTSS</v>
      </c>
      <c r="M59" s="7" t="s">
        <v>122</v>
      </c>
      <c r="N59" t="s">
        <v>95</v>
      </c>
      <c r="O59" s="2">
        <v>1682</v>
      </c>
      <c r="P59">
        <v>0</v>
      </c>
      <c r="Q59" s="2" t="str">
        <f t="shared" si="8"/>
        <v/>
      </c>
    </row>
    <row r="60" spans="1:17" x14ac:dyDescent="0.2">
      <c r="L60" t="str">
        <f t="shared" si="7"/>
        <v>NBALL</v>
      </c>
      <c r="M60" s="7" t="s">
        <v>122</v>
      </c>
      <c r="N60" t="s">
        <v>27</v>
      </c>
      <c r="O60" s="2">
        <v>9</v>
      </c>
      <c r="P60">
        <v>0</v>
      </c>
      <c r="Q60" s="2" t="str">
        <f t="shared" si="8"/>
        <v/>
      </c>
    </row>
    <row r="61" spans="1:17" x14ac:dyDescent="0.2">
      <c r="L61" t="str">
        <f t="shared" si="7"/>
        <v>PANDAS</v>
      </c>
      <c r="M61" s="7" t="s">
        <v>122</v>
      </c>
      <c r="N61" t="s">
        <v>32</v>
      </c>
      <c r="O61" s="2">
        <v>2883</v>
      </c>
      <c r="P61">
        <v>0</v>
      </c>
      <c r="Q61" s="2" t="str">
        <f t="shared" si="8"/>
        <v/>
      </c>
    </row>
    <row r="62" spans="1:17" x14ac:dyDescent="0.2">
      <c r="L62" t="str">
        <f t="shared" si="7"/>
        <v>ROSAT</v>
      </c>
      <c r="M62" s="7" t="s">
        <v>122</v>
      </c>
      <c r="N62" t="s">
        <v>33</v>
      </c>
      <c r="O62" s="2">
        <v>20208</v>
      </c>
      <c r="P62">
        <v>0</v>
      </c>
      <c r="Q62" s="2" t="str">
        <f t="shared" si="8"/>
        <v/>
      </c>
    </row>
    <row r="63" spans="1:17" x14ac:dyDescent="0.2">
      <c r="L63" t="str">
        <f t="shared" si="7"/>
        <v>SCUPOL</v>
      </c>
      <c r="M63" s="7" t="s">
        <v>122</v>
      </c>
      <c r="N63" t="s">
        <v>34</v>
      </c>
      <c r="O63" s="2">
        <v>351</v>
      </c>
      <c r="P63">
        <v>0</v>
      </c>
      <c r="Q63" s="2" t="str">
        <f t="shared" si="8"/>
        <v/>
      </c>
    </row>
    <row r="64" spans="1:17" x14ac:dyDescent="0.2">
      <c r="L64" t="str">
        <f t="shared" si="7"/>
        <v>TULLY</v>
      </c>
      <c r="M64" s="7" t="s">
        <v>122</v>
      </c>
      <c r="N64" t="s">
        <v>38</v>
      </c>
      <c r="O64" s="2">
        <v>305</v>
      </c>
      <c r="P64">
        <v>0</v>
      </c>
      <c r="Q64" s="2" t="str">
        <f t="shared" si="8"/>
        <v/>
      </c>
    </row>
    <row r="65" spans="12:17" x14ac:dyDescent="0.2">
      <c r="L65" t="str">
        <f t="shared" si="7"/>
        <v>vault</v>
      </c>
      <c r="M65" s="7" t="s">
        <v>122</v>
      </c>
      <c r="N65" t="s">
        <v>40</v>
      </c>
      <c r="O65" s="2">
        <v>237532001</v>
      </c>
      <c r="P65">
        <v>2</v>
      </c>
      <c r="Q65" s="2">
        <f t="shared" si="8"/>
        <v>927859.37890625</v>
      </c>
    </row>
    <row r="66" spans="12:17" x14ac:dyDescent="0.2">
      <c r="L66" t="str">
        <f t="shared" si="7"/>
        <v>XDSS</v>
      </c>
      <c r="M66" s="7" t="s">
        <v>122</v>
      </c>
      <c r="N66" t="s">
        <v>44</v>
      </c>
      <c r="O66" s="2">
        <v>6057539</v>
      </c>
      <c r="P66">
        <v>1</v>
      </c>
      <c r="Q66" s="2">
        <f t="shared" si="8"/>
        <v>378596.1875</v>
      </c>
    </row>
  </sheetData>
  <sortState xmlns:xlrd2="http://schemas.microsoft.com/office/spreadsheetml/2017/richdata2" ref="A3:H49">
    <sortCondition ref="A3:A49"/>
  </sortState>
  <hyperlinks>
    <hyperlink ref="V17" r:id="rId1" xr:uid="{AECE64AD-BFAB-C74A-93EA-A8C756DF62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caomMonitoring configurations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Séverin Gaudet</dc:creator>
  <cp:lastModifiedBy>Séverin Gaudet</cp:lastModifiedBy>
  <dcterms:created xsi:type="dcterms:W3CDTF">2025-08-01T21:27:58Z</dcterms:created>
  <dcterms:modified xsi:type="dcterms:W3CDTF">2025-09-11T19:54:41Z</dcterms:modified>
</cp:coreProperties>
</file>